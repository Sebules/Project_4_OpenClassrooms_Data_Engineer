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bas\Documents\cours Openclassrooms\Data Engineer\projet 4\"/>
    </mc:Choice>
  </mc:AlternateContent>
  <xr:revisionPtr revIDLastSave="0" documentId="13_ncr:1_{630DDC35-0258-4784-BC0F-53F9F681A84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Matrice des Risques" sheetId="1" r:id="rId1"/>
    <sheet name="Registre des Vulnérabilités" sheetId="2" r:id="rId2"/>
    <sheet name="Tableau de Bord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" i="2" l="1"/>
  <c r="H6" i="2"/>
  <c r="H9" i="2"/>
  <c r="H7" i="2"/>
  <c r="H8" i="2"/>
  <c r="H5" i="2"/>
  <c r="C12" i="3"/>
  <c r="C11" i="3"/>
  <c r="C10" i="3"/>
  <c r="C9" i="3" l="1"/>
  <c r="D15" i="3"/>
  <c r="C5" i="3"/>
  <c r="C6" i="3"/>
  <c r="C7" i="3"/>
  <c r="C8" i="3"/>
</calcChain>
</file>

<file path=xl/sharedStrings.xml><?xml version="1.0" encoding="utf-8"?>
<sst xmlns="http://schemas.openxmlformats.org/spreadsheetml/2006/main" count="119" uniqueCount="100">
  <si>
    <t>MATRICE D'ÉVALUATION DES RISQUES – AUDIT BASE DE DONNÉES</t>
  </si>
  <si>
    <t>Référentiel : ISO/IEC 27005 | NIST SP 800-30 | ANSSI EBIOS</t>
  </si>
  <si>
    <t>LÉGENDE DES NIVEAUX DE RISQUE</t>
  </si>
  <si>
    <t>CRITIQUE</t>
  </si>
  <si>
    <t>Action immédiate requise (&lt; 48 h) — Patch ou isolation</t>
  </si>
  <si>
    <t>ÉLEVÉ</t>
  </si>
  <si>
    <t>Correction prioritaire (&lt; 2 semaines)</t>
  </si>
  <si>
    <t>MOYEN</t>
  </si>
  <si>
    <t>Plan de remédiation à planifier (&lt; 3 mois)</t>
  </si>
  <si>
    <t>FAIBLE</t>
  </si>
  <si>
    <t>Surveillance — Traitement lors de la prochaine maintenance</t>
  </si>
  <si>
    <t>MATRICE PROBABILITÉ × IMPACT</t>
  </si>
  <si>
    <t>PROBABILITÉ</t>
  </si>
  <si>
    <t>IMPACT</t>
  </si>
  <si>
    <t>Impact FAIBLE</t>
  </si>
  <si>
    <t>Impact MOYEN</t>
  </si>
  <si>
    <t>Impact ÉLEVÉ</t>
  </si>
  <si>
    <t>Prob. ÉLEVÉE</t>
  </si>
  <si>
    <t>Prob. MOYENNE</t>
  </si>
  <si>
    <t>Prob. FAIBLE</t>
  </si>
  <si>
    <t>GUIDE DE NOTATION</t>
  </si>
  <si>
    <t>Faible : exploitation difficile, pas d'outillage connu</t>
  </si>
  <si>
    <t>Faible : données non sensibles, service secondaire</t>
  </si>
  <si>
    <t>Moyen : données métier exposées, dégradation partielle</t>
  </si>
  <si>
    <t>Élevé : données personnelles / financières, arrêt de service</t>
  </si>
  <si>
    <t>REGISTRE DES VULNÉRABILITÉS – AUDIT BASE DE DONNÉES</t>
  </si>
  <si>
    <t>Complétez une ligne par vulnérabilité identifiée lors de l'audit. Le niveau de risque est calculé automatiquement.</t>
  </si>
  <si>
    <t>ID</t>
  </si>
  <si>
    <t>Vulnérabilité / Constatation</t>
  </si>
  <si>
    <t>Composant DB affecté</t>
  </si>
  <si>
    <t>Type de vulnérabilité</t>
  </si>
  <si>
    <t>Probabilité
(Faible/Moy/Élevée)</t>
  </si>
  <si>
    <t>Impact
(Faible/Moyen/Élevé)</t>
  </si>
  <si>
    <t>Niveau de Risque
(auto)</t>
  </si>
  <si>
    <t>Recommandation / Action corrective</t>
  </si>
  <si>
    <t>Responsable</t>
  </si>
  <si>
    <t>Échéance</t>
  </si>
  <si>
    <t>Statut</t>
  </si>
  <si>
    <t>VUL-001</t>
  </si>
  <si>
    <t>Élevée</t>
  </si>
  <si>
    <t>Élevé</t>
  </si>
  <si>
    <t>À traiter</t>
  </si>
  <si>
    <t>VUL-002</t>
  </si>
  <si>
    <t>Moyenne</t>
  </si>
  <si>
    <t>En cours</t>
  </si>
  <si>
    <t>VUL-003</t>
  </si>
  <si>
    <t>Moyen</t>
  </si>
  <si>
    <t>VUL-004</t>
  </si>
  <si>
    <t>VUL-005</t>
  </si>
  <si>
    <t>VUL-006</t>
  </si>
  <si>
    <t>TABLEAU DE BORD – SYNTHÈSE DES RISQUES</t>
  </si>
  <si>
    <t>Mis à jour automatiquement depuis le Registre des Vulnérabilités</t>
  </si>
  <si>
    <t>INDICATEURS CLÉS</t>
  </si>
  <si>
    <t>Vulnérabilités CRITIQUES</t>
  </si>
  <si>
    <t>Vulnérabilités ÉLEVÉES</t>
  </si>
  <si>
    <t>Vulnérabilités MOYENNES</t>
  </si>
  <si>
    <t>Vulnérabilités FAIBLES</t>
  </si>
  <si>
    <t>Total vulnérabilités</t>
  </si>
  <si>
    <t>Résolues</t>
  </si>
  <si>
    <t>TAUX DE RÉSOLUTION</t>
  </si>
  <si>
    <t>% Vulnérabilités résolues</t>
  </si>
  <si>
    <t>INSTRUCTIONS D'UTILISATION</t>
  </si>
  <si>
    <t>1.</t>
  </si>
  <si>
    <t>Onglet 'Registre des Vulnérabilités'</t>
  </si>
  <si>
    <t>Saisissez chaque vulnérabilité identifiée lors de l'audit.</t>
  </si>
  <si>
    <t>2.</t>
  </si>
  <si>
    <t>Colonnes Probabilité &amp; Impact</t>
  </si>
  <si>
    <t>Sélectionnez via les listes déroulantes (Faible / Moyen / Élevé).</t>
  </si>
  <si>
    <t>3.</t>
  </si>
  <si>
    <t>Colonne 'Niveau de Risque'</t>
  </si>
  <si>
    <t>Calculée automatiquement selon la matrice ISO/IEC 27005.</t>
  </si>
  <si>
    <t>4.</t>
  </si>
  <si>
    <t>Colonnes Responsable &amp; Échéance</t>
  </si>
  <si>
    <t>Assignez un responsable et une date de correction.</t>
  </si>
  <si>
    <t>5.</t>
  </si>
  <si>
    <t>Colonne Statut</t>
  </si>
  <si>
    <t>Mettez à jour le statut au fil de la remédiation.</t>
  </si>
  <si>
    <t>6.</t>
  </si>
  <si>
    <t>Onglet 'Tableau de Bord'</t>
  </si>
  <si>
    <t>Suivez l'avancement en temps réel grâce aux compteurs automatiques.</t>
  </si>
  <si>
    <t>Instabilité du chiffre d’affaires</t>
  </si>
  <si>
    <t>Insertions tardives des ventes</t>
  </si>
  <si>
    <t>Données sensibles dans la BI</t>
  </si>
  <si>
    <t>Documentation insuffisante</t>
  </si>
  <si>
    <t>Qualité et typage des données</t>
  </si>
  <si>
    <t>Reporting erroné</t>
  </si>
  <si>
    <t>Données incomplètes dans Power BI</t>
  </si>
  <si>
    <t>Risque sécurité / conformité</t>
  </si>
  <si>
    <t>Mauvaise interprétation des données</t>
  </si>
  <si>
    <t>Erreurs de chargement ou de calcul</t>
  </si>
  <si>
    <t>Moyenne : exploitation connu, accès réseau requis</t>
  </si>
  <si>
    <t>Élevée : exploitation public, accès facile</t>
  </si>
  <si>
    <t>Mettre en place une clôture journalière des ventes</t>
  </si>
  <si>
    <t>Restreindre les données personnelles dans la couche BI</t>
  </si>
  <si>
    <t>Formaliser le dictionnaire de données
Documenter le modèle relationnel et les règles de calcul</t>
  </si>
  <si>
    <t>Améliorer le typage et la qualité des données</t>
  </si>
  <si>
    <t>Séparer la date des ventes et la date d'insertion</t>
  </si>
  <si>
    <t>Absence de supervision de la base de données</t>
  </si>
  <si>
    <t>Origine des anomalies non identifiable</t>
  </si>
  <si>
    <t xml:space="preserve">Mettre en place une supervision technique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</si>
</sst>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FFFFFF"/>
      <name val="Arial"/>
      <charset val="1"/>
    </font>
    <font>
      <b/>
      <sz val="16"/>
      <color rgb="FFFFFFFF"/>
      <name val="Arial"/>
      <charset val="1"/>
    </font>
    <font>
      <b/>
      <sz val="14"/>
      <color rgb="FF000000"/>
      <name val="Arial"/>
      <charset val="1"/>
    </font>
    <font>
      <sz val="10"/>
      <color rgb="FF000000"/>
      <name val="Arial"/>
      <family val="2"/>
    </font>
    <font>
      <i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FF0000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rgb="FFC00000"/>
      </patternFill>
    </fill>
    <fill>
      <patternFill patternType="solid">
        <fgColor rgb="FFFF9900"/>
        <bgColor rgb="FFFFCC00"/>
      </patternFill>
    </fill>
    <fill>
      <patternFill patternType="solid">
        <fgColor rgb="FF70AD47"/>
        <bgColor rgb="FF99CC00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9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7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7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7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7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6" fillId="9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164" fontId="9" fillId="9" borderId="2" xfId="0" applyNumberFormat="1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color rgb="FFFFFFFF"/>
        <name val="Arial"/>
        <charset val="1"/>
      </font>
      <fill>
        <patternFill>
          <bgColor rgb="FF7030A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FFFFFF"/>
        <name val="Arial"/>
        <charset val="1"/>
      </font>
      <fill>
        <patternFill>
          <bgColor rgb="FFFF9900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b/>
        <color rgb="FFFFFFFF"/>
        <name val="Arial"/>
        <charset val="1"/>
      </font>
      <fill>
        <patternFill>
          <bgColor rgb="FF70AD47"/>
        </patternFill>
      </fill>
    </dxf>
    <dxf>
      <font>
        <b/>
        <color rgb="FFFFFFFF"/>
        <name val="Arial"/>
        <charset val="1"/>
      </font>
      <fill>
        <patternFill>
          <bgColor rgb="FFFF99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34"/>
  <sheetViews>
    <sheetView showGridLines="0" zoomScaleNormal="100" workbookViewId="0">
      <selection activeCell="B2" sqref="B2:E2"/>
    </sheetView>
  </sheetViews>
  <sheetFormatPr baseColWidth="10" defaultColWidth="8.6640625" defaultRowHeight="14.4" x14ac:dyDescent="0.3"/>
  <cols>
    <col min="1" max="1" width="5" customWidth="1"/>
    <col min="2" max="2" width="22" customWidth="1"/>
    <col min="3" max="5" width="18" customWidth="1"/>
    <col min="6" max="6" width="5" customWidth="1"/>
  </cols>
  <sheetData>
    <row r="1" spans="2:5" ht="21.75" customHeight="1" x14ac:dyDescent="0.3">
      <c r="B1" s="41" t="s">
        <v>0</v>
      </c>
      <c r="C1" s="41"/>
      <c r="D1" s="41"/>
      <c r="E1" s="41"/>
    </row>
    <row r="2" spans="2:5" ht="21.75" customHeight="1" x14ac:dyDescent="0.3">
      <c r="B2" s="42" t="s">
        <v>1</v>
      </c>
      <c r="C2" s="43"/>
      <c r="D2" s="43"/>
      <c r="E2" s="43"/>
    </row>
    <row r="3" spans="2:5" ht="21.75" customHeight="1" x14ac:dyDescent="0.3"/>
    <row r="4" spans="2:5" ht="21.75" customHeight="1" x14ac:dyDescent="0.3">
      <c r="B4" s="34" t="s">
        <v>2</v>
      </c>
      <c r="C4" s="34"/>
      <c r="D4" s="34"/>
      <c r="E4" s="34"/>
    </row>
    <row r="5" spans="2:5" ht="19.5" customHeight="1" x14ac:dyDescent="0.3">
      <c r="B5" s="4" t="s">
        <v>3</v>
      </c>
      <c r="C5" s="38" t="s">
        <v>4</v>
      </c>
      <c r="D5" s="38"/>
      <c r="E5" s="38"/>
    </row>
    <row r="6" spans="2:5" ht="19.5" customHeight="1" x14ac:dyDescent="0.3">
      <c r="B6" s="5" t="s">
        <v>5</v>
      </c>
      <c r="C6" s="38" t="s">
        <v>6</v>
      </c>
      <c r="D6" s="38"/>
      <c r="E6" s="38"/>
    </row>
    <row r="7" spans="2:5" ht="19.5" customHeight="1" x14ac:dyDescent="0.3">
      <c r="B7" s="6" t="s">
        <v>7</v>
      </c>
      <c r="C7" s="38" t="s">
        <v>8</v>
      </c>
      <c r="D7" s="38"/>
      <c r="E7" s="38"/>
    </row>
    <row r="8" spans="2:5" ht="19.5" customHeight="1" x14ac:dyDescent="0.3">
      <c r="B8" s="7" t="s">
        <v>9</v>
      </c>
      <c r="C8" s="38" t="s">
        <v>10</v>
      </c>
      <c r="D8" s="38"/>
      <c r="E8" s="38"/>
    </row>
    <row r="9" spans="2:5" ht="21.75" customHeight="1" x14ac:dyDescent="0.3"/>
    <row r="10" spans="2:5" ht="21.75" customHeight="1" x14ac:dyDescent="0.3">
      <c r="B10" s="34" t="s">
        <v>11</v>
      </c>
      <c r="C10" s="34"/>
      <c r="D10" s="34"/>
      <c r="E10" s="34"/>
    </row>
    <row r="11" spans="2:5" ht="21.75" customHeight="1" x14ac:dyDescent="0.3">
      <c r="B11" s="39" t="s">
        <v>12</v>
      </c>
      <c r="C11" s="40" t="s">
        <v>13</v>
      </c>
      <c r="D11" s="40"/>
      <c r="E11" s="40"/>
    </row>
    <row r="12" spans="2:5" ht="27.75" customHeight="1" x14ac:dyDescent="0.3">
      <c r="B12" s="39"/>
      <c r="C12" s="8" t="s">
        <v>14</v>
      </c>
      <c r="D12" s="8" t="s">
        <v>15</v>
      </c>
      <c r="E12" s="8" t="s">
        <v>16</v>
      </c>
    </row>
    <row r="13" spans="2:5" ht="31.5" customHeight="1" x14ac:dyDescent="0.3">
      <c r="B13" s="8" t="s">
        <v>17</v>
      </c>
      <c r="C13" s="9" t="s">
        <v>7</v>
      </c>
      <c r="D13" s="10" t="s">
        <v>5</v>
      </c>
      <c r="E13" s="11" t="s">
        <v>3</v>
      </c>
    </row>
    <row r="14" spans="2:5" ht="31.5" customHeight="1" x14ac:dyDescent="0.3">
      <c r="B14" s="8" t="s">
        <v>18</v>
      </c>
      <c r="C14" s="12" t="s">
        <v>9</v>
      </c>
      <c r="D14" s="9" t="s">
        <v>7</v>
      </c>
      <c r="E14" s="10" t="s">
        <v>5</v>
      </c>
    </row>
    <row r="15" spans="2:5" ht="31.5" customHeight="1" x14ac:dyDescent="0.3">
      <c r="B15" s="8" t="s">
        <v>19</v>
      </c>
      <c r="C15" s="12" t="s">
        <v>9</v>
      </c>
      <c r="D15" s="12" t="s">
        <v>9</v>
      </c>
      <c r="E15" s="9" t="s">
        <v>7</v>
      </c>
    </row>
    <row r="16" spans="2:5" ht="21.75" customHeight="1" x14ac:dyDescent="0.3"/>
    <row r="17" spans="2:5" ht="21.75" customHeight="1" x14ac:dyDescent="0.3">
      <c r="B17" s="34" t="s">
        <v>20</v>
      </c>
      <c r="C17" s="34"/>
      <c r="D17" s="34"/>
      <c r="E17" s="34"/>
    </row>
    <row r="18" spans="2:5" ht="24" customHeight="1" x14ac:dyDescent="0.3">
      <c r="B18" s="3" t="s">
        <v>12</v>
      </c>
      <c r="C18" s="35" t="s">
        <v>13</v>
      </c>
      <c r="D18" s="35"/>
      <c r="E18" s="35"/>
    </row>
    <row r="19" spans="2:5" ht="24" customHeight="1" x14ac:dyDescent="0.3">
      <c r="B19" s="2" t="s">
        <v>21</v>
      </c>
      <c r="C19" s="36" t="s">
        <v>22</v>
      </c>
      <c r="D19" s="36"/>
      <c r="E19" s="36"/>
    </row>
    <row r="20" spans="2:5" ht="24" customHeight="1" x14ac:dyDescent="0.3">
      <c r="B20" s="32" t="s">
        <v>90</v>
      </c>
      <c r="C20" s="37" t="s">
        <v>23</v>
      </c>
      <c r="D20" s="37"/>
      <c r="E20" s="37"/>
    </row>
    <row r="21" spans="2:5" ht="24" customHeight="1" x14ac:dyDescent="0.3">
      <c r="B21" s="33" t="s">
        <v>91</v>
      </c>
      <c r="C21" s="36" t="s">
        <v>24</v>
      </c>
      <c r="D21" s="36"/>
      <c r="E21" s="36"/>
    </row>
    <row r="22" spans="2:5" ht="21.75" customHeight="1" x14ac:dyDescent="0.3"/>
    <row r="23" spans="2:5" ht="21.75" customHeight="1" x14ac:dyDescent="0.3"/>
    <row r="24" spans="2:5" ht="21.75" customHeight="1" x14ac:dyDescent="0.3"/>
    <row r="25" spans="2:5" ht="21.75" customHeight="1" x14ac:dyDescent="0.3"/>
    <row r="26" spans="2:5" ht="21.75" customHeight="1" x14ac:dyDescent="0.3"/>
    <row r="27" spans="2:5" ht="21.75" customHeight="1" x14ac:dyDescent="0.3"/>
    <row r="28" spans="2:5" ht="21.75" customHeight="1" x14ac:dyDescent="0.3"/>
    <row r="29" spans="2:5" ht="21.75" customHeight="1" x14ac:dyDescent="0.3"/>
    <row r="30" spans="2:5" ht="21.75" customHeight="1" x14ac:dyDescent="0.3"/>
    <row r="31" spans="2:5" ht="21.75" customHeight="1" x14ac:dyDescent="0.3"/>
    <row r="32" spans="2:5" ht="21.75" customHeight="1" x14ac:dyDescent="0.3"/>
    <row r="33" ht="21.75" customHeight="1" x14ac:dyDescent="0.3"/>
    <row r="34" ht="21.75" customHeight="1" x14ac:dyDescent="0.3"/>
  </sheetData>
  <mergeCells count="15">
    <mergeCell ref="B1:E1"/>
    <mergeCell ref="B2:E2"/>
    <mergeCell ref="B4:E4"/>
    <mergeCell ref="C5:E5"/>
    <mergeCell ref="C6:E6"/>
    <mergeCell ref="C7:E7"/>
    <mergeCell ref="C8:E8"/>
    <mergeCell ref="B10:E10"/>
    <mergeCell ref="B11:B12"/>
    <mergeCell ref="C11:E11"/>
    <mergeCell ref="B17:E17"/>
    <mergeCell ref="C18:E18"/>
    <mergeCell ref="C19:E19"/>
    <mergeCell ref="C20:E20"/>
    <mergeCell ref="C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L9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:H9"/>
    </sheetView>
  </sheetViews>
  <sheetFormatPr baseColWidth="10" defaultColWidth="8.6640625" defaultRowHeight="14.4" x14ac:dyDescent="0.3"/>
  <cols>
    <col min="1" max="1" width="5" customWidth="1"/>
    <col min="2" max="2" width="8" customWidth="1"/>
    <col min="3" max="3" width="32" customWidth="1"/>
    <col min="4" max="4" width="3.21875" customWidth="1"/>
    <col min="5" max="5" width="27.88671875" customWidth="1"/>
    <col min="6" max="6" width="17.6640625" customWidth="1"/>
    <col min="7" max="7" width="20" customWidth="1"/>
    <col min="8" max="8" width="28" customWidth="1"/>
    <col min="9" max="10" width="20" customWidth="1"/>
    <col min="11" max="11" width="16" customWidth="1"/>
    <col min="12" max="12" width="7.21875" customWidth="1"/>
  </cols>
  <sheetData>
    <row r="1" spans="2:12" ht="36" customHeight="1" x14ac:dyDescent="0.3">
      <c r="B1" s="41" t="s">
        <v>25</v>
      </c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2:12" ht="19.5" customHeight="1" thickBot="1" x14ac:dyDescent="0.35">
      <c r="B2" s="43" t="s">
        <v>26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2:12" ht="36" customHeight="1" thickBot="1" x14ac:dyDescent="0.35">
      <c r="B3" s="13" t="s">
        <v>27</v>
      </c>
      <c r="C3" s="13" t="s">
        <v>28</v>
      </c>
      <c r="D3" s="13" t="s">
        <v>29</v>
      </c>
      <c r="E3" s="13" t="s">
        <v>30</v>
      </c>
      <c r="F3" s="13" t="s">
        <v>31</v>
      </c>
      <c r="G3" s="13" t="s">
        <v>32</v>
      </c>
      <c r="H3" s="13" t="s">
        <v>33</v>
      </c>
      <c r="I3" s="13" t="s">
        <v>34</v>
      </c>
      <c r="J3" s="13" t="s">
        <v>35</v>
      </c>
      <c r="K3" s="13" t="s">
        <v>36</v>
      </c>
      <c r="L3" s="13" t="s">
        <v>37</v>
      </c>
    </row>
    <row r="4" spans="2:12" ht="39.6" x14ac:dyDescent="0.3">
      <c r="B4" s="14" t="s">
        <v>38</v>
      </c>
      <c r="C4" s="1" t="s">
        <v>80</v>
      </c>
      <c r="D4" s="1"/>
      <c r="E4" s="1" t="s">
        <v>85</v>
      </c>
      <c r="F4" s="15" t="s">
        <v>39</v>
      </c>
      <c r="G4" s="31" t="s">
        <v>40</v>
      </c>
      <c r="H4" s="17" t="str">
        <f t="shared" ref="H4:H9" si="0">IF(OR(F4="",G4=""),"",IF(AND(F4="Élevée",G4="Élevé"),"CRITIQUE",IF(OR(AND(F4="Élevée",G4="Moyen"),AND(F4="Moyenne",G4="Élevé")),"ÉLEVÉ",IF(OR(AND(F4="Élevée",G4="Faible"),AND(F4="Moyenne",G4="Moyen"),AND(F4="Faible",G4="Élevé")),"MOYEN","FAIBLE"))))</f>
        <v>CRITIQUE</v>
      </c>
      <c r="I4" s="32" t="s">
        <v>92</v>
      </c>
      <c r="J4" s="15"/>
      <c r="K4" s="15"/>
      <c r="L4" s="15"/>
    </row>
    <row r="5" spans="2:12" ht="39.6" x14ac:dyDescent="0.3">
      <c r="B5" s="16" t="s">
        <v>42</v>
      </c>
      <c r="C5" s="2" t="s">
        <v>81</v>
      </c>
      <c r="D5" s="2"/>
      <c r="E5" s="2" t="s">
        <v>86</v>
      </c>
      <c r="F5" s="17" t="s">
        <v>39</v>
      </c>
      <c r="G5" s="17" t="s">
        <v>40</v>
      </c>
      <c r="H5" s="17" t="str">
        <f t="shared" si="0"/>
        <v>CRITIQUE</v>
      </c>
      <c r="I5" s="33" t="s">
        <v>96</v>
      </c>
      <c r="J5" s="17"/>
      <c r="K5" s="17"/>
      <c r="L5" s="17"/>
    </row>
    <row r="6" spans="2:12" ht="26.4" x14ac:dyDescent="0.3">
      <c r="B6" s="14" t="s">
        <v>45</v>
      </c>
      <c r="C6" s="1" t="s">
        <v>97</v>
      </c>
      <c r="D6" s="1"/>
      <c r="E6" s="1" t="s">
        <v>98</v>
      </c>
      <c r="F6" s="15" t="s">
        <v>39</v>
      </c>
      <c r="G6" s="31" t="s">
        <v>40</v>
      </c>
      <c r="H6" s="17" t="str">
        <f t="shared" si="0"/>
        <v>CRITIQUE</v>
      </c>
      <c r="I6" s="32" t="s">
        <v>99</v>
      </c>
      <c r="J6" s="15"/>
      <c r="K6" s="15"/>
      <c r="L6" s="15"/>
    </row>
    <row r="7" spans="2:12" ht="39.6" x14ac:dyDescent="0.3">
      <c r="B7" s="16" t="s">
        <v>47</v>
      </c>
      <c r="C7" s="33" t="s">
        <v>82</v>
      </c>
      <c r="D7" s="2"/>
      <c r="E7" s="2" t="s">
        <v>87</v>
      </c>
      <c r="F7" s="17" t="s">
        <v>43</v>
      </c>
      <c r="G7" s="17" t="s">
        <v>40</v>
      </c>
      <c r="H7" s="17" t="str">
        <f t="shared" si="0"/>
        <v>ÉLEVÉ</v>
      </c>
      <c r="I7" s="33" t="s">
        <v>93</v>
      </c>
      <c r="J7" s="17"/>
      <c r="K7" s="17"/>
      <c r="L7" s="17"/>
    </row>
    <row r="8" spans="2:12" ht="79.2" x14ac:dyDescent="0.3">
      <c r="B8" s="14" t="s">
        <v>48</v>
      </c>
      <c r="C8" s="1" t="s">
        <v>83</v>
      </c>
      <c r="D8" s="1"/>
      <c r="E8" s="1" t="s">
        <v>88</v>
      </c>
      <c r="F8" s="15" t="s">
        <v>39</v>
      </c>
      <c r="G8" s="31" t="s">
        <v>46</v>
      </c>
      <c r="H8" s="17" t="str">
        <f t="shared" si="0"/>
        <v>ÉLEVÉ</v>
      </c>
      <c r="I8" s="32" t="s">
        <v>94</v>
      </c>
      <c r="J8" s="15"/>
      <c r="K8" s="15"/>
      <c r="L8" s="15"/>
    </row>
    <row r="9" spans="2:12" ht="27.75" customHeight="1" x14ac:dyDescent="0.3">
      <c r="B9" s="16" t="s">
        <v>49</v>
      </c>
      <c r="C9" s="33" t="s">
        <v>84</v>
      </c>
      <c r="D9" s="2"/>
      <c r="E9" s="2" t="s">
        <v>89</v>
      </c>
      <c r="F9" s="17" t="s">
        <v>43</v>
      </c>
      <c r="G9" s="17" t="s">
        <v>46</v>
      </c>
      <c r="H9" s="17" t="str">
        <f t="shared" si="0"/>
        <v>MOYEN</v>
      </c>
      <c r="I9" s="33" t="s">
        <v>95</v>
      </c>
      <c r="J9" s="18"/>
      <c r="K9" s="18"/>
      <c r="L9" s="18"/>
    </row>
  </sheetData>
  <mergeCells count="2">
    <mergeCell ref="B1:L1"/>
    <mergeCell ref="B2:L2"/>
  </mergeCells>
  <conditionalFormatting sqref="H4:H10">
    <cfRule type="expression" dxfId="7" priority="2">
      <formula>H4="CRITIQUE"</formula>
    </cfRule>
    <cfRule type="expression" dxfId="6" priority="3">
      <formula>H4="ÉLEVÉ"</formula>
    </cfRule>
    <cfRule type="expression" dxfId="5" priority="4">
      <formula>H4="MOYEN"</formula>
    </cfRule>
    <cfRule type="expression" dxfId="4" priority="5">
      <formula>H4="FAIBLE"</formula>
    </cfRule>
  </conditionalFormatting>
  <conditionalFormatting sqref="L4:L10">
    <cfRule type="expression" dxfId="3" priority="6">
      <formula>L4="Résolu"</formula>
    </cfRule>
    <cfRule type="expression" dxfId="2" priority="7">
      <formula>L4="En cours"</formula>
    </cfRule>
    <cfRule type="expression" dxfId="1" priority="8">
      <formula>L4="À traiter"</formula>
    </cfRule>
    <cfRule type="expression" dxfId="0" priority="9">
      <formula>L4="Accepté"</formula>
    </cfRule>
  </conditionalFormatting>
  <dataValidations count="4">
    <dataValidation type="list" allowBlank="1" sqref="L4:L9" xr:uid="{00000000-0002-0000-0100-000002000000}">
      <formula1>"À traiter,En cours,Résolu,Accepté"</formula1>
      <formula2>0</formula2>
    </dataValidation>
    <dataValidation type="list" allowBlank="1" sqref="E4:E9" xr:uid="{00000000-0002-0000-0100-000003000000}">
      <formula1>"Authentification,Chiffrement,Contrôle d'accès,Injection SQL,Config. par défaut,Patch manquant,Audit/Logs,Autre"</formula1>
      <formula2>0</formula2>
    </dataValidation>
    <dataValidation type="list" allowBlank="1" sqref="G4:G9" xr:uid="{8AE56713-45D1-41E9-B1B4-D80390EA482E}">
      <formula1>"Faible,Moyen,Élevé"</formula1>
    </dataValidation>
    <dataValidation type="list" allowBlank="1" showInputMessage="1" showErrorMessage="1" sqref="F4:F9" xr:uid="{8FE9FF0E-CC2A-4843-99B9-99BCAF0F6A03}">
      <formula1>"Faible,Moyenne,Élevée"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B1:E39"/>
  <sheetViews>
    <sheetView showGridLines="0" zoomScaleNormal="100" workbookViewId="0">
      <selection activeCell="C10" sqref="C10:D10"/>
    </sheetView>
  </sheetViews>
  <sheetFormatPr baseColWidth="10" defaultColWidth="8.6640625" defaultRowHeight="14.4" x14ac:dyDescent="0.3"/>
  <cols>
    <col min="1" max="1" width="4" customWidth="1"/>
    <col min="2" max="2" width="22" customWidth="1"/>
    <col min="3" max="5" width="18" customWidth="1"/>
    <col min="6" max="6" width="4" customWidth="1"/>
  </cols>
  <sheetData>
    <row r="1" spans="2:5" ht="24" customHeight="1" x14ac:dyDescent="0.3">
      <c r="B1" s="41" t="s">
        <v>50</v>
      </c>
      <c r="C1" s="41"/>
      <c r="D1" s="41"/>
      <c r="E1" s="41"/>
    </row>
    <row r="2" spans="2:5" ht="24" customHeight="1" x14ac:dyDescent="0.3">
      <c r="B2" s="43" t="s">
        <v>51</v>
      </c>
      <c r="C2" s="43"/>
      <c r="D2" s="43"/>
      <c r="E2" s="43"/>
    </row>
    <row r="3" spans="2:5" ht="24" customHeight="1" x14ac:dyDescent="0.3"/>
    <row r="4" spans="2:5" ht="24" customHeight="1" x14ac:dyDescent="0.3">
      <c r="B4" s="34" t="s">
        <v>52</v>
      </c>
      <c r="C4" s="34"/>
      <c r="D4" s="34"/>
      <c r="E4" s="34"/>
    </row>
    <row r="5" spans="2:5" ht="30" customHeight="1" x14ac:dyDescent="0.3">
      <c r="B5" s="19" t="s">
        <v>53</v>
      </c>
      <c r="C5" s="51">
        <f>COUNTIF('Registre des Vulnérabilités'!H4:H86,"CRITIQUE")</f>
        <v>3</v>
      </c>
      <c r="D5" s="51"/>
      <c r="E5" s="20"/>
    </row>
    <row r="6" spans="2:5" ht="30" customHeight="1" x14ac:dyDescent="0.3">
      <c r="B6" s="21" t="s">
        <v>54</v>
      </c>
      <c r="C6" s="45">
        <f>COUNTIF('Registre des Vulnérabilités'!H4:H86,"ÉLEVÉ")</f>
        <v>2</v>
      </c>
      <c r="D6" s="45"/>
      <c r="E6" s="22"/>
    </row>
    <row r="7" spans="2:5" ht="30" customHeight="1" x14ac:dyDescent="0.3">
      <c r="B7" s="23" t="s">
        <v>55</v>
      </c>
      <c r="C7" s="48">
        <f>COUNTIF('Registre des Vulnérabilités'!H4:H86,"MOYEN")</f>
        <v>1</v>
      </c>
      <c r="D7" s="48"/>
      <c r="E7" s="24"/>
    </row>
    <row r="8" spans="2:5" ht="30" customHeight="1" x14ac:dyDescent="0.3">
      <c r="B8" s="25" t="s">
        <v>56</v>
      </c>
      <c r="C8" s="49">
        <f>COUNTIF('Registre des Vulnérabilités'!H4:H86,"FAIBLE")</f>
        <v>0</v>
      </c>
      <c r="D8" s="49"/>
      <c r="E8" s="26"/>
    </row>
    <row r="9" spans="2:5" ht="30" customHeight="1" x14ac:dyDescent="0.3">
      <c r="B9" s="27" t="s">
        <v>57</v>
      </c>
      <c r="C9" s="50">
        <f>COUNTA('Registre des Vulnérabilités'!H4:H86)</f>
        <v>6</v>
      </c>
      <c r="D9" s="50"/>
      <c r="E9" s="28"/>
    </row>
    <row r="10" spans="2:5" ht="30" customHeight="1" x14ac:dyDescent="0.3">
      <c r="B10" s="25" t="s">
        <v>58</v>
      </c>
      <c r="C10" s="49">
        <f>COUNTIF('Registre des Vulnérabilités'!L4:L86,"Résolu")</f>
        <v>0</v>
      </c>
      <c r="D10" s="49"/>
      <c r="E10" s="26"/>
    </row>
    <row r="11" spans="2:5" ht="30" customHeight="1" x14ac:dyDescent="0.3">
      <c r="B11" s="23" t="s">
        <v>44</v>
      </c>
      <c r="C11" s="48">
        <f>COUNTIF('Registre des Vulnérabilités'!L4:L86,"En cours")</f>
        <v>0</v>
      </c>
      <c r="D11" s="48"/>
      <c r="E11" s="24"/>
    </row>
    <row r="12" spans="2:5" ht="30" customHeight="1" x14ac:dyDescent="0.3">
      <c r="B12" s="21" t="s">
        <v>41</v>
      </c>
      <c r="C12" s="45">
        <f>COUNTIF('Registre des Vulnérabilités'!L4:L86,"À traiter")</f>
        <v>0</v>
      </c>
      <c r="D12" s="45"/>
      <c r="E12" s="22"/>
    </row>
    <row r="13" spans="2:5" ht="24" customHeight="1" x14ac:dyDescent="0.3"/>
    <row r="14" spans="2:5" ht="9.75" customHeight="1" x14ac:dyDescent="0.3">
      <c r="B14" s="34" t="s">
        <v>59</v>
      </c>
      <c r="C14" s="34"/>
      <c r="D14" s="34"/>
      <c r="E14" s="34"/>
    </row>
    <row r="15" spans="2:5" ht="30" customHeight="1" x14ac:dyDescent="0.3">
      <c r="B15" s="46" t="s">
        <v>60</v>
      </c>
      <c r="C15" s="46"/>
      <c r="D15" s="47">
        <f>IFERROR(COUNTIF('Registre des Vulnérabilités'!L4:L86,"Résolu")/COUNTA('Registre des Vulnérabilités'!H4:H86),0)</f>
        <v>0</v>
      </c>
      <c r="E15" s="47"/>
    </row>
    <row r="16" spans="2:5" ht="24" customHeight="1" x14ac:dyDescent="0.3"/>
    <row r="17" spans="2:5" ht="9.75" customHeight="1" x14ac:dyDescent="0.3">
      <c r="B17" s="34" t="s">
        <v>61</v>
      </c>
      <c r="C17" s="34"/>
      <c r="D17" s="34"/>
      <c r="E17" s="34"/>
    </row>
    <row r="18" spans="2:5" ht="25.5" customHeight="1" x14ac:dyDescent="0.3">
      <c r="B18" s="8" t="s">
        <v>62</v>
      </c>
      <c r="C18" s="29" t="s">
        <v>63</v>
      </c>
      <c r="D18" s="44" t="s">
        <v>64</v>
      </c>
      <c r="E18" s="44"/>
    </row>
    <row r="19" spans="2:5" ht="25.5" customHeight="1" x14ac:dyDescent="0.3">
      <c r="B19" s="8" t="s">
        <v>65</v>
      </c>
      <c r="C19" s="30" t="s">
        <v>66</v>
      </c>
      <c r="D19" s="38" t="s">
        <v>67</v>
      </c>
      <c r="E19" s="38"/>
    </row>
    <row r="20" spans="2:5" ht="25.5" customHeight="1" x14ac:dyDescent="0.3">
      <c r="B20" s="8" t="s">
        <v>68</v>
      </c>
      <c r="C20" s="29" t="s">
        <v>69</v>
      </c>
      <c r="D20" s="44" t="s">
        <v>70</v>
      </c>
      <c r="E20" s="44"/>
    </row>
    <row r="21" spans="2:5" ht="25.5" customHeight="1" x14ac:dyDescent="0.3">
      <c r="B21" s="8" t="s">
        <v>71</v>
      </c>
      <c r="C21" s="30" t="s">
        <v>72</v>
      </c>
      <c r="D21" s="38" t="s">
        <v>73</v>
      </c>
      <c r="E21" s="38"/>
    </row>
    <row r="22" spans="2:5" ht="25.5" customHeight="1" x14ac:dyDescent="0.3">
      <c r="B22" s="8" t="s">
        <v>74</v>
      </c>
      <c r="C22" s="29" t="s">
        <v>75</v>
      </c>
      <c r="D22" s="44" t="s">
        <v>76</v>
      </c>
      <c r="E22" s="44"/>
    </row>
    <row r="23" spans="2:5" ht="25.5" customHeight="1" x14ac:dyDescent="0.3">
      <c r="B23" s="8" t="s">
        <v>77</v>
      </c>
      <c r="C23" s="30" t="s">
        <v>78</v>
      </c>
      <c r="D23" s="38" t="s">
        <v>79</v>
      </c>
      <c r="E23" s="38"/>
    </row>
    <row r="24" spans="2:5" ht="24" customHeight="1" x14ac:dyDescent="0.3"/>
    <row r="25" spans="2:5" ht="24" customHeight="1" x14ac:dyDescent="0.3"/>
    <row r="26" spans="2:5" ht="24" customHeight="1" x14ac:dyDescent="0.3"/>
    <row r="27" spans="2:5" ht="24" customHeight="1" x14ac:dyDescent="0.3"/>
    <row r="28" spans="2:5" ht="24" customHeight="1" x14ac:dyDescent="0.3"/>
    <row r="29" spans="2:5" ht="24" customHeight="1" x14ac:dyDescent="0.3"/>
    <row r="30" spans="2:5" ht="24" customHeight="1" x14ac:dyDescent="0.3"/>
    <row r="31" spans="2:5" ht="24" customHeight="1" x14ac:dyDescent="0.3"/>
    <row r="32" spans="2:5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</sheetData>
  <mergeCells count="21">
    <mergeCell ref="B1:E1"/>
    <mergeCell ref="B2:E2"/>
    <mergeCell ref="B4:E4"/>
    <mergeCell ref="C5:D5"/>
    <mergeCell ref="C6:D6"/>
    <mergeCell ref="C7:D7"/>
    <mergeCell ref="C8:D8"/>
    <mergeCell ref="C9:D9"/>
    <mergeCell ref="C10:D10"/>
    <mergeCell ref="C11:D11"/>
    <mergeCell ref="C12:D12"/>
    <mergeCell ref="B14:E14"/>
    <mergeCell ref="B15:C15"/>
    <mergeCell ref="D15:E15"/>
    <mergeCell ref="B17:E17"/>
    <mergeCell ref="D23:E23"/>
    <mergeCell ref="D18:E18"/>
    <mergeCell ref="D19:E19"/>
    <mergeCell ref="D20:E20"/>
    <mergeCell ref="D21:E21"/>
    <mergeCell ref="D22:E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Matrice des Risques</vt:lpstr>
      <vt:lpstr>Registre des Vulnérabilités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Sébastien Ulésie</cp:lastModifiedBy>
  <cp:revision>0</cp:revision>
  <dcterms:created xsi:type="dcterms:W3CDTF">2026-05-15T15:35:18Z</dcterms:created>
  <dcterms:modified xsi:type="dcterms:W3CDTF">2026-05-16T16:12:29Z</dcterms:modified>
  <dc:language>en-US</dc:language>
</cp:coreProperties>
</file>